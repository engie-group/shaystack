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prados\Documents\"/>
    </mc:Choice>
  </mc:AlternateContent>
  <xr:revisionPtr revIDLastSave="0" documentId="13_ncr:1_{C47BD35B-876D-40CA-A17D-2776F8E414D1}" xr6:coauthVersionLast="45" xr6:coauthVersionMax="45" xr10:uidLastSave="{00000000-0000-0000-0000-000000000000}"/>
  <bookViews>
    <workbookView xWindow="828" yWindow="-108" windowWidth="21528" windowHeight="11832" tabRatio="855" activeTab="5" xr2:uid="{A4BC6545-A7B8-4A45-BEBF-E39182AC79B4}"/>
  </bookViews>
  <sheets>
    <sheet name="Haystack" sheetId="1" r:id="rId1"/>
    <sheet name="about" sheetId="5" r:id="rId2"/>
    <sheet name="ops" sheetId="6" r:id="rId3"/>
    <sheet name="formats" sheetId="7" r:id="rId4"/>
    <sheet name="read" sheetId="9" r:id="rId5"/>
    <sheet name="hisRead" sheetId="12" r:id="rId6"/>
  </sheets>
  <definedNames>
    <definedName name="DonnéesExternes_1" localSheetId="1" hidden="1">about!$A$1:$H$2</definedName>
    <definedName name="DonnéesExternes_1" localSheetId="3" hidden="1">formats!$A$1:$C$4</definedName>
    <definedName name="DonnéesExternes_1" localSheetId="5" hidden="1">hisRead!$A$6:$B$18</definedName>
    <definedName name="DonnéesExternes_1" localSheetId="2" hidden="1">ops!$A$1:$B$6</definedName>
    <definedName name="DonnéesExternes_1" localSheetId="4" hidden="1">read!$A$6:$BP$11</definedName>
    <definedName name="DonnéesExternes_2" localSheetId="2" hidden="1">ops!$A$1:$B$6</definedName>
    <definedName name="Entity">hisRead!$C$2</definedName>
    <definedName name="HaystackAPI">Haystack!$B$3</definedName>
    <definedName name="Limit">read!$C$4</definedName>
    <definedName name="Query">read!$C$3</definedName>
    <definedName name="Range">hisRead!$C$3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82977-5897-4D04-9D74-2B494E2D77BA}" keepAlive="1" name="Requête - about" description="Connexion à la requête « about » dans le classeur." type="5" refreshedVersion="6" background="1" saveData="1">
    <dbPr connection="Provider=Microsoft.Mashup.OleDb.1;Data Source=$Workbook$;Location=about;Extended Properties=&quot;&quot;" command="SELECT * FROM [about]"/>
  </connection>
  <connection id="2" xr16:uid="{B476F188-9B29-4449-861F-4531AEF24794}" keepAlive="1" name="Requête - Entity" description="Connexion à la requête « Entity » dans le classeur." type="5" refreshedVersion="0" background="1">
    <dbPr connection="Provider=Microsoft.Mashup.OleDb.1;Data Source=$Workbook$;Location=Entity;Extended Properties=&quot;&quot;" command="SELECT * FROM [Entity]"/>
  </connection>
  <connection id="3" xr16:uid="{22E0631A-CB79-40FF-BD69-32B99D38AC65}" keepAlive="1" name="Requête - Filter" description="Connexion à la requête « Filter » dans le classeur." type="5" refreshedVersion="0" background="1">
    <dbPr connection="Provider=Microsoft.Mashup.OleDb.1;Data Source=$Workbook$;Location=Filter;Extended Properties=&quot;&quot;" command="SELECT * FROM [Filter]"/>
  </connection>
  <connection id="4" xr16:uid="{617CDDBB-74D1-4E41-A5B3-3F4736B8F22B}" keepAlive="1" name="Requête - formats" description="Connexion à la requête « formats » dans le classeur." type="5" refreshedVersion="6" background="1" saveData="1">
    <dbPr connection="Provider=Microsoft.Mashup.OleDb.1;Data Source=$Workbook$;Location=formats;Extended Properties=&quot;&quot;" command="SELECT * FROM [formats]"/>
  </connection>
  <connection id="5" xr16:uid="{555D52F0-AA6D-43E5-986C-BD0FCE7513E3}" keepAlive="1" name="Requête - HaystackAPI" description="Connexion à la requête « HaystackAPI » dans le classeur." type="5" refreshedVersion="0" background="1">
    <dbPr connection="Provider=Microsoft.Mashup.OleDb.1;Data Source=$Workbook$;Location=HaystackAPI;Extended Properties=&quot;&quot;" command="SELECT * FROM [HaystackAPI]"/>
  </connection>
  <connection id="6" xr16:uid="{4DEC3D2B-D419-4503-B625-F1BFB2F63190}" keepAlive="1" name="Requête - hisRead" description="Connexion à la requête « hisRead » dans le classeur." type="5" refreshedVersion="6" background="1" saveData="1">
    <dbPr connection="Provider=Microsoft.Mashup.OleDb.1;Data Source=$Workbook$;Location=hisRead;Extended Properties=&quot;&quot;" command="SELECT * FROM [hisRead]"/>
  </connection>
  <connection id="7" xr16:uid="{C3489B5D-F7C0-438D-A447-22AB74B408C6}" keepAlive="1" name="Requête - Limit" description="Connexion à la requête « Limit » dans le classeur." type="5" refreshedVersion="0" background="1">
    <dbPr connection="Provider=Microsoft.Mashup.OleDb.1;Data Source=$Workbook$;Location=Limit;Extended Properties=&quot;&quot;" command="SELECT * FROM [Limit]"/>
  </connection>
  <connection id="8" xr16:uid="{3F2594E3-23A5-49DF-A18F-A30F274202A1}" keepAlive="1" name="Requête - ops" description="Connexion à la requête « ops » dans le classeur." type="5" refreshedVersion="6" background="1" saveData="1">
    <dbPr connection="Provider=Microsoft.Mashup.OleDb.1;Data Source=$Workbook$;Location=ops;Extended Properties=&quot;&quot;" command="SELECT * FROM [ops]"/>
  </connection>
  <connection id="9" xr16:uid="{7CEDF5C2-1D6D-46CC-963C-7DD10BDCFCB5}" keepAlive="1" name="Requête - Range" description="Connexion à la requête « Range » dans le classeur." type="5" refreshedVersion="0" background="1">
    <dbPr connection="Provider=Microsoft.Mashup.OleDb.1;Data Source=$Workbook$;Location=Range;Extended Properties=&quot;&quot;" command="SELECT * FROM [Range]"/>
  </connection>
  <connection id="10" xr16:uid="{88AD4C08-387D-445D-B2D7-8FB76E439D67}" keepAlive="1" name="Requête - read" description="Connexion à la requête « read » dans le classeur." type="5" refreshedVersion="6" background="1" saveData="1">
    <dbPr connection="Provider=Microsoft.Mashup.OleDb.1;Data Source=$Workbook$;Location=read;Extended Properties=&quot;&quot;" command="SELECT * FROM [read]"/>
  </connection>
</connections>
</file>

<file path=xl/sharedStrings.xml><?xml version="1.0" encoding="utf-8"?>
<sst xmlns="http://schemas.openxmlformats.org/spreadsheetml/2006/main" count="442" uniqueCount="134">
  <si>
    <t>Limit</t>
  </si>
  <si>
    <t>mime</t>
  </si>
  <si>
    <t>Filter</t>
  </si>
  <si>
    <t/>
  </si>
  <si>
    <t>✓</t>
  </si>
  <si>
    <t>text/csv</t>
  </si>
  <si>
    <t>application/json</t>
  </si>
  <si>
    <t>HaystackAPI</t>
  </si>
  <si>
    <t>Paramètres</t>
  </si>
  <si>
    <t>Entity</t>
  </si>
  <si>
    <t>Range</t>
  </si>
  <si>
    <t>haystackVersion</t>
  </si>
  <si>
    <t>tz</t>
  </si>
  <si>
    <t>serverName</t>
  </si>
  <si>
    <t>serverTime</t>
  </si>
  <si>
    <t>serverBootTime</t>
  </si>
  <si>
    <t>productName</t>
  </si>
  <si>
    <t>productUri</t>
  </si>
  <si>
    <t>productVersion</t>
  </si>
  <si>
    <t>name</t>
  </si>
  <si>
    <t>summary</t>
  </si>
  <si>
    <t>about</t>
  </si>
  <si>
    <t>Summary information for server</t>
  </si>
  <si>
    <t>ops</t>
  </si>
  <si>
    <t>Operations supported by this server</t>
  </si>
  <si>
    <t>formats</t>
  </si>
  <si>
    <t>Grid data formats supported by this server</t>
  </si>
  <si>
    <t>read</t>
  </si>
  <si>
    <t>The read op is used to read a set of entity records either by their unique identifier or using a filter.</t>
  </si>
  <si>
    <t>hisRead</t>
  </si>
  <si>
    <t>The his_read op is used to read a time-series data from historized point.</t>
  </si>
  <si>
    <t>receive</t>
  </si>
  <si>
    <t>send</t>
  </si>
  <si>
    <t>text/zinc</t>
  </si>
  <si>
    <t>point</t>
  </si>
  <si>
    <t>area</t>
  </si>
  <si>
    <t>elec</t>
  </si>
  <si>
    <t>id</t>
  </si>
  <si>
    <t>meter</t>
  </si>
  <si>
    <t>site</t>
  </si>
  <si>
    <t>siteRef</t>
  </si>
  <si>
    <t>val</t>
  </si>
  <si>
    <t>today</t>
  </si>
  <si>
    <t>dis</t>
  </si>
  <si>
    <t>geoCountry</t>
  </si>
  <si>
    <t>geoState</t>
  </si>
  <si>
    <t>hisURI</t>
  </si>
  <si>
    <t>haystack_us-east-2</t>
  </si>
  <si>
    <t>his</t>
  </si>
  <si>
    <t>geoCoord</t>
  </si>
  <si>
    <t>http://10.0.2.2:3000/haystack</t>
  </si>
  <si>
    <t>AWS Lambda Haystack Provider</t>
  </si>
  <si>
    <t>Europe/Paris</t>
  </si>
  <si>
    <t>`https://10.0.2.2:3000/dev`</t>
  </si>
  <si>
    <t>air</t>
  </si>
  <si>
    <t>phone</t>
  </si>
  <si>
    <t>sensor</t>
  </si>
  <si>
    <t>occupied</t>
  </si>
  <si>
    <t>store</t>
  </si>
  <si>
    <t>damper</t>
  </si>
  <si>
    <t>enum</t>
  </si>
  <si>
    <t>temp</t>
  </si>
  <si>
    <t>tariffHis</t>
  </si>
  <si>
    <t>sp</t>
  </si>
  <si>
    <t>weatherRef</t>
  </si>
  <si>
    <t>elecCost</t>
  </si>
  <si>
    <t>hisMode</t>
  </si>
  <si>
    <t>kwSite</t>
  </si>
  <si>
    <t>fan</t>
  </si>
  <si>
    <t>primaryFunction</t>
  </si>
  <si>
    <t>kind</t>
  </si>
  <si>
    <t>cmd</t>
  </si>
  <si>
    <t>lights</t>
  </si>
  <si>
    <t>geoStreet</t>
  </si>
  <si>
    <t>occupiedEnd</t>
  </si>
  <si>
    <t>yearBuilt</t>
  </si>
  <si>
    <t>siteMeter</t>
  </si>
  <si>
    <t>regionRef</t>
  </si>
  <si>
    <t>occupiedStart</t>
  </si>
  <si>
    <t>effective</t>
  </si>
  <si>
    <t>equip</t>
  </si>
  <si>
    <t>sitePoint</t>
  </si>
  <si>
    <t>cool</t>
  </si>
  <si>
    <t>ahu</t>
  </si>
  <si>
    <t>hvac</t>
  </si>
  <si>
    <t>costPerHour</t>
  </si>
  <si>
    <t>unit</t>
  </si>
  <si>
    <t>lightsGroup</t>
  </si>
  <si>
    <t>discharge</t>
  </si>
  <si>
    <t>zone</t>
  </si>
  <si>
    <t>power</t>
  </si>
  <si>
    <t>geoCity</t>
  </si>
  <si>
    <t>rooftop</t>
  </si>
  <si>
    <t>navName</t>
  </si>
  <si>
    <t>outside</t>
  </si>
  <si>
    <t>energy</t>
  </si>
  <si>
    <t>elecMeterLoad</t>
  </si>
  <si>
    <t>geoAddr</t>
  </si>
  <si>
    <t>cur</t>
  </si>
  <si>
    <t>geoPostalCode</t>
  </si>
  <si>
    <t>equipRef</t>
  </si>
  <si>
    <t>pressure</t>
  </si>
  <si>
    <t>heat</t>
  </si>
  <si>
    <t>return</t>
  </si>
  <si>
    <t>storeNum</t>
  </si>
  <si>
    <t>metro</t>
  </si>
  <si>
    <t>stage</t>
  </si>
  <si>
    <t>New_York</t>
  </si>
  <si>
    <t>@p:demo:r:23a44701-67faf4db Richmond</t>
  </si>
  <si>
    <t>@p:demo:r:23a44701-a89a6c66 Carytown</t>
  </si>
  <si>
    <t>Str</t>
  </si>
  <si>
    <t>Tariff His</t>
  </si>
  <si>
    <t>@p:demo:r:23a44701-bbc36976 Tariff His</t>
  </si>
  <si>
    <t>@p:demo:r:23a44701-092f16fa Carytown ElecMeter-Main</t>
  </si>
  <si>
    <t>p:demo:r:23a44701-bbc36976.zinc</t>
  </si>
  <si>
    <t>cov</t>
  </si>
  <si>
    <t>Number</t>
  </si>
  <si>
    <t>\u00b0F</t>
  </si>
  <si>
    <t>ZoneTempSp</t>
  </si>
  <si>
    <t>@p:demo:r:23a44701-4ea35663 Carytown RTU-1 ZoneTempSp</t>
  </si>
  <si>
    <t>@p:demo:r:23a44701-7265b064 Carytown RTU-1</t>
  </si>
  <si>
    <t>p:demo:r:23a44701-4ea35663.zinc</t>
  </si>
  <si>
    <t>sampled</t>
  </si>
  <si>
    <t>kW</t>
  </si>
  <si>
    <t>@p:demo:r:23a44701-3940e690 Carytown ElecMeter-Main kW</t>
  </si>
  <si>
    <t>p:demo:r:23a44701-3940e690.zinc</t>
  </si>
  <si>
    <t>ZoneTemp</t>
  </si>
  <si>
    <t>@p:demo:r:23a44701-27a8a001 Carytown RTU-1 ZoneTemp</t>
  </si>
  <si>
    <t>p:demo:r:23a44701-27a8a001.zinc</t>
  </si>
  <si>
    <t>DischargeTemp</t>
  </si>
  <si>
    <t>@p:demo:r:23a44701-423ebf02 Carytown RTU-1 DischargeTemp</t>
  </si>
  <si>
    <t>p:demo:r:23a44701-423ebf02.zinc</t>
  </si>
  <si>
    <t>ts</t>
  </si>
  <si>
    <t>2021-01-04T16:22:02+01:00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</si>
</sst>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1" fillId="0" borderId="0" xfId="0" applyFont="1"/>
    <xf numFmtId="22" fontId="0" fillId="0" borderId="0" xfId="0" applyNumberFormat="1"/>
    <xf numFmtId="0" fontId="0" fillId="0" borderId="0" xfId="0" quotePrefix="1"/>
    <xf numFmtId="0" fontId="2" fillId="3" borderId="0" xfId="1" applyFill="1"/>
    <xf numFmtId="164" fontId="0" fillId="0" borderId="0" xfId="0" applyNumberFormat="1"/>
    <xf numFmtId="0" fontId="0" fillId="3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hisRead!$B$6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hisRead!$A$7:$A$18</c:f>
              <c:numCache>
                <c:formatCode>m/d/yyyy\ h:mm</c:formatCode>
                <c:ptCount val="12"/>
                <c:pt idx="0">
                  <c:v>43862.041666666664</c:v>
                </c:pt>
                <c:pt idx="1">
                  <c:v>43891.041666666664</c:v>
                </c:pt>
                <c:pt idx="2">
                  <c:v>43922.083333333336</c:v>
                </c:pt>
                <c:pt idx="3">
                  <c:v>43952.083333333336</c:v>
                </c:pt>
                <c:pt idx="4">
                  <c:v>43983.083333333336</c:v>
                </c:pt>
                <c:pt idx="5">
                  <c:v>44013.083333333336</c:v>
                </c:pt>
                <c:pt idx="6">
                  <c:v>44044.083333333336</c:v>
                </c:pt>
                <c:pt idx="7">
                  <c:v>44075.083333333336</c:v>
                </c:pt>
                <c:pt idx="8">
                  <c:v>44105.083333333336</c:v>
                </c:pt>
                <c:pt idx="9">
                  <c:v>44136.041666666664</c:v>
                </c:pt>
                <c:pt idx="10">
                  <c:v>44166.041666666664</c:v>
                </c:pt>
                <c:pt idx="11">
                  <c:v>44197.041666666664</c:v>
                </c:pt>
              </c:numCache>
            </c:numRef>
          </c:cat>
          <c:val>
            <c:numRef>
              <c:f>hisRead!$B$7:$B$18</c:f>
              <c:numCache>
                <c:formatCode>General</c:formatCode>
                <c:ptCount val="12"/>
                <c:pt idx="0">
                  <c:v>740</c:v>
                </c:pt>
                <c:pt idx="1">
                  <c:v>720</c:v>
                </c:pt>
                <c:pt idx="2">
                  <c:v>680</c:v>
                </c:pt>
                <c:pt idx="3">
                  <c:v>650</c:v>
                </c:pt>
                <c:pt idx="4">
                  <c:v>620</c:v>
                </c:pt>
                <c:pt idx="5">
                  <c:v>660</c:v>
                </c:pt>
                <c:pt idx="6">
                  <c:v>620</c:v>
                </c:pt>
                <c:pt idx="7">
                  <c:v>630</c:v>
                </c:pt>
                <c:pt idx="8">
                  <c:v>600</c:v>
                </c:pt>
                <c:pt idx="9">
                  <c:v>630</c:v>
                </c:pt>
                <c:pt idx="10">
                  <c:v>670</c:v>
                </c:pt>
                <c:pt idx="11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9-42AD-8483-9CACE3EF3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2140664"/>
        <c:axId val="942140992"/>
      </c:lineChart>
      <c:dateAx>
        <c:axId val="94214066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140992"/>
        <c:crosses val="autoZero"/>
        <c:auto val="1"/>
        <c:lblOffset val="100"/>
        <c:baseTimeUnit val="months"/>
      </c:dateAx>
      <c:valAx>
        <c:axId val="9421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14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30480</xdr:rowOff>
    </xdr:from>
    <xdr:to>
      <xdr:col>121</xdr:col>
      <xdr:colOff>15240</xdr:colOff>
      <xdr:row>1</xdr:row>
      <xdr:rowOff>76200</xdr:rowOff>
    </xdr:to>
    <xdr:sp macro="[0]!RefreshAll" textlink="">
      <xdr:nvSpPr>
        <xdr:cNvPr id="2" name="Rectangle 1">
          <a:extLst>
            <a:ext uri="{FF2B5EF4-FFF2-40B4-BE49-F238E27FC236}">
              <a16:creationId xmlns:a16="http://schemas.microsoft.com/office/drawing/2014/main" id="{DD0E04C6-FD11-46F7-9D46-7540FA90AD92}"/>
            </a:ext>
          </a:extLst>
        </xdr:cNvPr>
        <xdr:cNvSpPr/>
      </xdr:nvSpPr>
      <xdr:spPr>
        <a:xfrm>
          <a:off x="15240" y="30480"/>
          <a:ext cx="85618320" cy="2286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5</xdr:row>
      <xdr:rowOff>118110</xdr:rowOff>
    </xdr:from>
    <xdr:to>
      <xdr:col>9</xdr:col>
      <xdr:colOff>152400</xdr:colOff>
      <xdr:row>20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9E39C0-D706-47F1-AF48-24861A515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B8EB30AC-03F0-4A20-AA62-6567698FA87D}" autoFormatId="16" applyNumberFormats="0" applyBorderFormats="0" applyFontFormats="0" applyPatternFormats="0" applyAlignmentFormats="0" applyWidthHeightFormats="0">
  <queryTableRefresh nextId="9">
    <queryTableFields count="8">
      <queryTableField id="1" name="serverName" tableColumnId="1"/>
      <queryTableField id="2" name="haystackVersion" tableColumnId="2"/>
      <queryTableField id="3" name="productName" tableColumnId="3"/>
      <queryTableField id="4" name="productVersion" tableColumnId="4"/>
      <queryTableField id="5" name="tz" tableColumnId="5"/>
      <queryTableField id="6" name="serverTime" tableColumnId="6"/>
      <queryTableField id="7" name="serverBootTime" tableColumnId="7"/>
      <queryTableField id="8" name="productUri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F7DDC393-D3EE-4D96-8D7A-A9C4A0A90F5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summary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C5F733C0-AD04-4E06-866C-6A83F08C373E}" autoFormatId="16" applyNumberFormats="0" applyBorderFormats="0" applyFontFormats="0" applyPatternFormats="0" applyAlignmentFormats="0" applyWidthHeightFormats="0">
  <queryTableRefresh nextId="4">
    <queryTableFields count="3">
      <queryTableField id="1" name="mime" tableColumnId="1"/>
      <queryTableField id="2" name="receive" tableColumnId="2"/>
      <queryTableField id="3" name="sen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FE9D508E-844D-42BA-9A0D-EDE65E589B13}" autoFormatId="16" applyNumberFormats="0" applyBorderFormats="0" applyFontFormats="0" applyPatternFormats="0" applyAlignmentFormats="0" applyWidthHeightFormats="0">
  <queryTableRefresh nextId="70">
    <queryTableFields count="68">
      <queryTableField id="54" name="id" tableColumnId="54"/>
      <queryTableField id="1" name="air" tableColumnId="1"/>
      <queryTableField id="2" name="phone" tableColumnId="2"/>
      <queryTableField id="3" name="sensor" tableColumnId="3"/>
      <queryTableField id="4" name="occupied" tableColumnId="4"/>
      <queryTableField id="5" name="store" tableColumnId="5"/>
      <queryTableField id="6" name="damper" tableColumnId="6"/>
      <queryTableField id="7" name="enum" tableColumnId="7"/>
      <queryTableField id="8" name="temp" tableColumnId="8"/>
      <queryTableField id="9" name="tz" tableColumnId="9"/>
      <queryTableField id="10" name="tariffHis" tableColumnId="10"/>
      <queryTableField id="11" name="sp" tableColumnId="11"/>
      <queryTableField id="12" name="area" tableColumnId="12"/>
      <queryTableField id="13" name="site" tableColumnId="13"/>
      <queryTableField id="14" name="weatherRef" tableColumnId="14"/>
      <queryTableField id="15" name="elecCost" tableColumnId="15"/>
      <queryTableField id="16" name="hisMode" tableColumnId="16"/>
      <queryTableField id="17" name="kwSite" tableColumnId="17"/>
      <queryTableField id="18" name="summary" tableColumnId="18"/>
      <queryTableField id="19" name="fan" tableColumnId="19"/>
      <queryTableField id="20" name="siteRef" tableColumnId="20"/>
      <queryTableField id="21" name="primaryFunction" tableColumnId="21"/>
      <queryTableField id="22" name="kind" tableColumnId="22"/>
      <queryTableField id="23" name="cmd" tableColumnId="23"/>
      <queryTableField id="24" name="geoCountry" tableColumnId="24"/>
      <queryTableField id="25" name="elec" tableColumnId="25"/>
      <queryTableField id="26" name="lights" tableColumnId="26"/>
      <queryTableField id="27" name="geoStreet" tableColumnId="27"/>
      <queryTableField id="28" name="occupiedEnd" tableColumnId="28"/>
      <queryTableField id="29" name="yearBuilt" tableColumnId="29"/>
      <queryTableField id="30" name="siteMeter" tableColumnId="30"/>
      <queryTableField id="31" name="geoCoord" tableColumnId="31"/>
      <queryTableField id="32" name="regionRef" tableColumnId="32"/>
      <queryTableField id="33" name="occupiedStart" tableColumnId="33"/>
      <queryTableField id="34" name="effective" tableColumnId="34"/>
      <queryTableField id="35" name="equip" tableColumnId="35"/>
      <queryTableField id="36" name="sitePoint" tableColumnId="36"/>
      <queryTableField id="37" name="cool" tableColumnId="37"/>
      <queryTableField id="38" name="ahu" tableColumnId="38"/>
      <queryTableField id="39" name="hvac" tableColumnId="39"/>
      <queryTableField id="40" name="costPerHour" tableColumnId="40"/>
      <queryTableField id="41" name="unit" tableColumnId="41"/>
      <queryTableField id="42" name="lightsGroup" tableColumnId="42"/>
      <queryTableField id="43" name="discharge" tableColumnId="43"/>
      <queryTableField id="44" name="zone" tableColumnId="44"/>
      <queryTableField id="45" name="power" tableColumnId="45"/>
      <queryTableField id="46" name="geoCity" tableColumnId="46"/>
      <queryTableField id="47" name="rooftop" tableColumnId="47"/>
      <queryTableField id="48" name="navName" tableColumnId="48"/>
      <queryTableField id="49" name="outside" tableColumnId="49"/>
      <queryTableField id="50" name="point" tableColumnId="50"/>
      <queryTableField id="51" name="dis" tableColumnId="51"/>
      <queryTableField id="52" name="energy" tableColumnId="52"/>
      <queryTableField id="53" name="elecMeterLoad" tableColumnId="53"/>
      <queryTableField id="55" name="geoAddr" tableColumnId="55"/>
      <queryTableField id="56" name="cur" tableColumnId="56"/>
      <queryTableField id="57" name="geoState" tableColumnId="57"/>
      <queryTableField id="58" name="geoPostalCode" tableColumnId="58"/>
      <queryTableField id="59" name="equipRef" tableColumnId="59"/>
      <queryTableField id="60" name="meter" tableColumnId="60"/>
      <queryTableField id="61" name="pressure" tableColumnId="61"/>
      <queryTableField id="62" name="heat" tableColumnId="62"/>
      <queryTableField id="63" name="return" tableColumnId="63"/>
      <queryTableField id="64" name="storeNum" tableColumnId="64"/>
      <queryTableField id="65" name="his" tableColumnId="65"/>
      <queryTableField id="66" name="metro" tableColumnId="66"/>
      <queryTableField id="67" name="stage" tableColumnId="67"/>
      <queryTableField id="68" name="hisURI" tableColumnId="6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6E094E8F-D659-4B59-AC5F-1871E530445A}" autoFormatId="16" applyNumberFormats="0" applyBorderFormats="0" applyFontFormats="0" applyPatternFormats="0" applyAlignmentFormats="0" applyWidthHeightFormats="0">
  <queryTableRefresh nextId="3">
    <queryTableFields count="2">
      <queryTableField id="1" name="ts" tableColumnId="1"/>
      <queryTableField id="2" name="va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98380-31B2-4D35-BA0F-61E6DC102FFA}" name="about" displayName="about" ref="A1:H2" tableType="queryTable" totalsRowShown="0">
  <autoFilter ref="A1:H2" xr:uid="{8F3E5421-C938-4633-BBCB-5AAAAEE3AE12}"/>
  <tableColumns count="8">
    <tableColumn id="1" xr3:uid="{4BC6AF82-8638-4897-AF2E-872304215675}" uniqueName="1" name="serverName" queryTableFieldId="1" dataDxfId="79"/>
    <tableColumn id="2" xr3:uid="{851F21C0-467B-4C48-A0AD-52C1BFA27EEE}" uniqueName="2" name="haystackVersion" queryTableFieldId="2" dataDxfId="81"/>
    <tableColumn id="3" xr3:uid="{7ACBB768-85CA-4970-B0F9-31063ED488F3}" uniqueName="3" name="productName" queryTableFieldId="3" dataDxfId="78"/>
    <tableColumn id="4" xr3:uid="{7D680F7C-94D4-4A9A-9871-F3D90322FC88}" uniqueName="4" name="productVersion" queryTableFieldId="4" dataDxfId="80"/>
    <tableColumn id="5" xr3:uid="{C969B642-3733-445D-BE37-7BBE2084EF57}" uniqueName="5" name="tz" queryTableFieldId="5" dataDxfId="77"/>
    <tableColumn id="6" xr3:uid="{AAA34AF1-9336-4BBE-8A66-B2BD79338471}" uniqueName="6" name="serverTime" queryTableFieldId="6" dataDxfId="76"/>
    <tableColumn id="7" xr3:uid="{3461C8D5-0E3E-45FB-93A1-D332659900E6}" uniqueName="7" name="serverBootTime" queryTableFieldId="7" dataDxfId="75"/>
    <tableColumn id="8" xr3:uid="{83FE55BB-BDC9-42B7-AA3E-BCA118420D00}" uniqueName="8" name="productUri" queryTableFieldId="8" dataDxfId="7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AE67FA-4C0F-4AD8-B673-04813A47F574}" name="ops" displayName="ops" ref="A1:B6" tableType="queryTable" totalsRowShown="0">
  <autoFilter ref="A1:B6" xr:uid="{0825E8F7-0892-4AEA-962E-696D50D3387A}"/>
  <tableColumns count="2">
    <tableColumn id="1" xr3:uid="{AEB6BAFC-C4AE-4215-81D0-5FD8CF20566C}" uniqueName="1" name="name" queryTableFieldId="1" dataDxfId="73"/>
    <tableColumn id="2" xr3:uid="{1146A29E-65A0-445B-B2F7-55346EECADD6}" uniqueName="2" name="summary" queryTableFieldId="2" dataDxfId="7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E445481-9895-41A6-B663-4E377E3E1AFB}" name="formats" displayName="formats" ref="A1:C4" tableType="queryTable" totalsRowShown="0">
  <autoFilter ref="A1:C4" xr:uid="{82B582DE-90A5-4531-93A6-7D1CBE513EDE}"/>
  <tableColumns count="3">
    <tableColumn id="1" xr3:uid="{051250F9-4208-47F9-8C7A-A8776B910B7F}" uniqueName="1" name="mime" queryTableFieldId="1" dataDxfId="71"/>
    <tableColumn id="2" xr3:uid="{E8ABA4FA-E9D8-4705-8FD0-A3DFC7F192B2}" uniqueName="2" name="receive" queryTableFieldId="2" dataDxfId="70"/>
    <tableColumn id="3" xr3:uid="{F4EC95E6-5CFB-4593-B2FB-495673830AF8}" uniqueName="3" name="send" queryTableFieldId="3" dataDxfId="6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5EC4C2-A6B0-44D0-B5C9-07B6597B0312}" name="read_3" displayName="read_3" ref="A6:BP11" tableType="queryTable" totalsRowShown="0">
  <autoFilter ref="A6:BP11" xr:uid="{EB10AC06-E0B9-4579-9F8E-DBDE489ABEFE}"/>
  <tableColumns count="68">
    <tableColumn id="54" xr3:uid="{B47272AE-7AC1-4605-B855-BA9D4FF6456D}" uniqueName="54" name="id" queryTableFieldId="54" dataDxfId="66"/>
    <tableColumn id="1" xr3:uid="{EF8FCCC3-EA45-43A3-BA26-9E7BAAD18AA5}" uniqueName="1" name="air" queryTableFieldId="1" dataDxfId="65"/>
    <tableColumn id="2" xr3:uid="{24953B63-5A6B-48E6-83AD-C0839AADD5B1}" uniqueName="2" name="phone" queryTableFieldId="2" dataDxfId="64"/>
    <tableColumn id="3" xr3:uid="{D376633C-35B1-426D-B92C-0EB100FB6794}" uniqueName="3" name="sensor" queryTableFieldId="3" dataDxfId="63"/>
    <tableColumn id="4" xr3:uid="{00D03E46-28E6-418E-9162-7F709E2255DC}" uniqueName="4" name="occupied" queryTableFieldId="4" dataDxfId="62"/>
    <tableColumn id="5" xr3:uid="{8F9BF26D-B230-4B3B-BAE6-9E714D408AF3}" uniqueName="5" name="store" queryTableFieldId="5" dataDxfId="61"/>
    <tableColumn id="6" xr3:uid="{C64CEF28-8D9E-407C-8443-1352BBFF97F6}" uniqueName="6" name="damper" queryTableFieldId="6" dataDxfId="60"/>
    <tableColumn id="7" xr3:uid="{931FF33A-1C2B-4203-BF56-E42B8A03A55C}" uniqueName="7" name="enum" queryTableFieldId="7" dataDxfId="59"/>
    <tableColumn id="8" xr3:uid="{9D6A532F-53CF-4EB5-A37A-BDA0BFAF4C01}" uniqueName="8" name="temp" queryTableFieldId="8" dataDxfId="58"/>
    <tableColumn id="9" xr3:uid="{EBBAB086-E5C5-49E8-B46D-2D42FA37AE43}" uniqueName="9" name="tz" queryTableFieldId="9" dataDxfId="57"/>
    <tableColumn id="10" xr3:uid="{828CEF49-1E30-42B1-8BBC-25450FA48A74}" uniqueName="10" name="tariffHis" queryTableFieldId="10" dataDxfId="56"/>
    <tableColumn id="11" xr3:uid="{038B0F4F-9557-4BC2-BDD3-49C154618965}" uniqueName="11" name="sp" queryTableFieldId="11" dataDxfId="55"/>
    <tableColumn id="12" xr3:uid="{98221E5C-0082-4B5B-BDA0-00F9748D5C9E}" uniqueName="12" name="area" queryTableFieldId="12" dataDxfId="54"/>
    <tableColumn id="13" xr3:uid="{EB2D49A8-BB14-4F49-BE14-1D0DF299DE8C}" uniqueName="13" name="site" queryTableFieldId="13" dataDxfId="53"/>
    <tableColumn id="14" xr3:uid="{8012D8C7-E709-4ED5-B43C-2C88BE2092D4}" uniqueName="14" name="weatherRef" queryTableFieldId="14" dataDxfId="52"/>
    <tableColumn id="15" xr3:uid="{2B3FC483-0883-433C-A659-FC010CD0DEA6}" uniqueName="15" name="elecCost" queryTableFieldId="15" dataDxfId="51"/>
    <tableColumn id="16" xr3:uid="{F086103E-2B70-43D7-A192-64DC8763034D}" uniqueName="16" name="hisMode" queryTableFieldId="16" dataDxfId="50"/>
    <tableColumn id="17" xr3:uid="{CE510D7E-63CB-4FFD-BF74-3CFCE0BD646C}" uniqueName="17" name="kwSite" queryTableFieldId="17" dataDxfId="49"/>
    <tableColumn id="18" xr3:uid="{5790433C-E565-4972-9FC3-AE035FD65F5B}" uniqueName="18" name="summary" queryTableFieldId="18" dataDxfId="48"/>
    <tableColumn id="19" xr3:uid="{58C5C82A-4941-41D4-9DDB-C0E2A583D742}" uniqueName="19" name="fan" queryTableFieldId="19" dataDxfId="47"/>
    <tableColumn id="20" xr3:uid="{96685FC2-B3A2-44A7-8182-8462CFEFB441}" uniqueName="20" name="siteRef" queryTableFieldId="20" dataDxfId="46"/>
    <tableColumn id="21" xr3:uid="{77C80B24-96BE-4BA7-9CE0-F61BF864040E}" uniqueName="21" name="primaryFunction" queryTableFieldId="21" dataDxfId="45"/>
    <tableColumn id="22" xr3:uid="{E2C5CCB2-01F7-4279-817F-7C2568259C31}" uniqueName="22" name="kind" queryTableFieldId="22" dataDxfId="44"/>
    <tableColumn id="23" xr3:uid="{D663058E-E086-46F1-8BFF-63EC36DEAC93}" uniqueName="23" name="cmd" queryTableFieldId="23" dataDxfId="43"/>
    <tableColumn id="24" xr3:uid="{A0B0B253-FD31-418E-BC2E-72DED282B0DB}" uniqueName="24" name="geoCountry" queryTableFieldId="24" dataDxfId="42"/>
    <tableColumn id="25" xr3:uid="{2C520F19-E11B-4C5A-8785-679AAE879D86}" uniqueName="25" name="elec" queryTableFieldId="25" dataDxfId="41"/>
    <tableColumn id="26" xr3:uid="{4DEEEAF4-E6CF-46A9-91D6-BDA791EBEB8C}" uniqueName="26" name="lights" queryTableFieldId="26" dataDxfId="40"/>
    <tableColumn id="27" xr3:uid="{8A79A60F-89ED-499E-99C8-69D17E212564}" uniqueName="27" name="geoStreet" queryTableFieldId="27" dataDxfId="39"/>
    <tableColumn id="28" xr3:uid="{A8F5273A-01EE-4EF0-A102-4BC40F324F95}" uniqueName="28" name="occupiedEnd" queryTableFieldId="28" dataDxfId="38"/>
    <tableColumn id="29" xr3:uid="{F873148F-F951-435B-8187-3B68EF2A95BB}" uniqueName="29" name="yearBuilt" queryTableFieldId="29" dataDxfId="37"/>
    <tableColumn id="30" xr3:uid="{74E5AE0D-138E-44F7-9EC0-28379E83911E}" uniqueName="30" name="siteMeter" queryTableFieldId="30" dataDxfId="36"/>
    <tableColumn id="31" xr3:uid="{6AEA75AA-97B8-4E95-91F4-BB29DC3C82EB}" uniqueName="31" name="geoCoord" queryTableFieldId="31" dataDxfId="35"/>
    <tableColumn id="32" xr3:uid="{DF8DD4C1-22BC-4D0B-A694-8A17ABCEC43A}" uniqueName="32" name="regionRef" queryTableFieldId="32" dataDxfId="34"/>
    <tableColumn id="33" xr3:uid="{AB4644A6-E5FE-49AF-912B-B2CB8C0E9C7C}" uniqueName="33" name="occupiedStart" queryTableFieldId="33" dataDxfId="33"/>
    <tableColumn id="34" xr3:uid="{7269B485-6AE2-4B4F-AF3F-F4731CD88BC7}" uniqueName="34" name="effective" queryTableFieldId="34" dataDxfId="32"/>
    <tableColumn id="35" xr3:uid="{298AA939-FCF5-4B41-BF1F-99D175DDA767}" uniqueName="35" name="equip" queryTableFieldId="35" dataDxfId="31"/>
    <tableColumn id="36" xr3:uid="{D2670D95-D407-4DC2-8260-7EEBDF35671E}" uniqueName="36" name="sitePoint" queryTableFieldId="36" dataDxfId="30"/>
    <tableColumn id="37" xr3:uid="{D243430B-1A72-4E97-8720-1529D7C30D18}" uniqueName="37" name="cool" queryTableFieldId="37" dataDxfId="29"/>
    <tableColumn id="38" xr3:uid="{54067ED0-9CB3-4BA3-9BEA-C1A5CA146707}" uniqueName="38" name="ahu" queryTableFieldId="38" dataDxfId="28"/>
    <tableColumn id="39" xr3:uid="{C284336F-89C7-41D0-A821-C8D410E05836}" uniqueName="39" name="hvac" queryTableFieldId="39" dataDxfId="27"/>
    <tableColumn id="40" xr3:uid="{6BB17D70-29EA-4D12-898F-1C8055B1111B}" uniqueName="40" name="costPerHour" queryTableFieldId="40" dataDxfId="26"/>
    <tableColumn id="41" xr3:uid="{AA0F5663-1D9A-4276-9288-4D01839C9526}" uniqueName="41" name="unit" queryTableFieldId="41" dataDxfId="25"/>
    <tableColumn id="42" xr3:uid="{CA5B934F-B37A-4919-8A58-4E191184F078}" uniqueName="42" name="lightsGroup" queryTableFieldId="42" dataDxfId="24"/>
    <tableColumn id="43" xr3:uid="{5B474EF8-AC4D-4074-B476-CCF138B7325D}" uniqueName="43" name="discharge" queryTableFieldId="43" dataDxfId="23"/>
    <tableColumn id="44" xr3:uid="{D4865C73-58B3-44CB-A087-FC9A179BBD1C}" uniqueName="44" name="zone" queryTableFieldId="44" dataDxfId="22"/>
    <tableColumn id="45" xr3:uid="{1A57301E-7124-4AEC-B6BC-522C7FB4E0D6}" uniqueName="45" name="power" queryTableFieldId="45" dataDxfId="21"/>
    <tableColumn id="46" xr3:uid="{5C731FD3-24CB-4BAC-BA22-55654232C596}" uniqueName="46" name="geoCity" queryTableFieldId="46" dataDxfId="20"/>
    <tableColumn id="47" xr3:uid="{D22EDA21-5C25-43B4-B610-15D9F6981E0C}" uniqueName="47" name="rooftop" queryTableFieldId="47" dataDxfId="19"/>
    <tableColumn id="48" xr3:uid="{E083E5EC-DDA3-4B9A-A834-78D27C77CDBD}" uniqueName="48" name="navName" queryTableFieldId="48" dataDxfId="18"/>
    <tableColumn id="49" xr3:uid="{DE2F3A54-3073-466D-A2EE-3E95323A24DE}" uniqueName="49" name="outside" queryTableFieldId="49" dataDxfId="17"/>
    <tableColumn id="50" xr3:uid="{CB56800F-B942-4D1D-A56C-F8FC440DB3A4}" uniqueName="50" name="point" queryTableFieldId="50" dataDxfId="16"/>
    <tableColumn id="51" xr3:uid="{22488064-5F5C-4D2D-A750-A9E7A067B9F5}" uniqueName="51" name="dis" queryTableFieldId="51" dataDxfId="15"/>
    <tableColumn id="52" xr3:uid="{CD3B5AEC-BF9E-4C37-BCAF-FD3355869872}" uniqueName="52" name="energy" queryTableFieldId="52" dataDxfId="14"/>
    <tableColumn id="53" xr3:uid="{F3114CD1-96E8-44F0-B9B2-D2A47B4BD9D8}" uniqueName="53" name="elecMeterLoad" queryTableFieldId="53" dataDxfId="13"/>
    <tableColumn id="55" xr3:uid="{3565F31A-2854-4D4E-B179-C9B8FC135729}" uniqueName="55" name="geoAddr" queryTableFieldId="55" dataDxfId="12"/>
    <tableColumn id="56" xr3:uid="{1223A683-1882-4FAA-94C6-1A18699F3EA5}" uniqueName="56" name="cur" queryTableFieldId="56" dataDxfId="11"/>
    <tableColumn id="57" xr3:uid="{F0E360D3-A597-46C5-9811-557E3EF2956D}" uniqueName="57" name="geoState" queryTableFieldId="57" dataDxfId="10"/>
    <tableColumn id="58" xr3:uid="{9269A968-270D-470F-96F9-A1DCEE60E0F6}" uniqueName="58" name="geoPostalCode" queryTableFieldId="58"/>
    <tableColumn id="59" xr3:uid="{BEF9FE0B-7959-4A3C-A01B-0C5B7D3A7BD6}" uniqueName="59" name="equipRef" queryTableFieldId="59" dataDxfId="9"/>
    <tableColumn id="60" xr3:uid="{7D459455-6784-4095-A39A-FE3FAB32460F}" uniqueName="60" name="meter" queryTableFieldId="60" dataDxfId="8"/>
    <tableColumn id="61" xr3:uid="{06D6BC7A-4EF2-4C69-8A0D-D6B325CBBAF2}" uniqueName="61" name="pressure" queryTableFieldId="61" dataDxfId="7"/>
    <tableColumn id="62" xr3:uid="{C06A1BCA-80A7-4DC7-B1F4-9DC4C44849A4}" uniqueName="62" name="heat" queryTableFieldId="62" dataDxfId="6"/>
    <tableColumn id="63" xr3:uid="{23BA9AA1-125E-4383-BC03-B9A4207567F2}" uniqueName="63" name="return" queryTableFieldId="63" dataDxfId="5"/>
    <tableColumn id="64" xr3:uid="{1ED960CB-CFD5-4F7E-959C-6AC35F510BE5}" uniqueName="64" name="storeNum" queryTableFieldId="64" dataDxfId="4"/>
    <tableColumn id="65" xr3:uid="{7AA93311-766F-48BC-9996-610450F07189}" uniqueName="65" name="his" queryTableFieldId="65" dataDxfId="3"/>
    <tableColumn id="66" xr3:uid="{DFB584CF-44AB-426F-AFD3-5042E4D9E885}" uniqueName="66" name="metro" queryTableFieldId="66" dataDxfId="2"/>
    <tableColumn id="67" xr3:uid="{2A38D4A4-774B-4F82-B2F7-B1E71A0AFA13}" uniqueName="67" name="stage" queryTableFieldId="67" dataDxfId="1"/>
    <tableColumn id="68" xr3:uid="{C6B5B9A6-2707-482C-B6DE-B6F2264527FA}" uniqueName="68" name="hisURI" queryTableFieldId="68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CDBE14-81E4-4D47-AAEC-F6967355762C}" name="hisRead" displayName="hisRead" ref="A6:B18" tableType="queryTable" totalsRowShown="0">
  <autoFilter ref="A6:B18" xr:uid="{BA4C1F3E-B5A3-4D9C-95A6-C6B4049D6907}"/>
  <tableColumns count="2">
    <tableColumn id="1" xr3:uid="{3EC4F29E-663A-4E8E-AD66-CAD27A5C179B}" uniqueName="1" name="ts" queryTableFieldId="1" dataDxfId="68"/>
    <tableColumn id="2" xr3:uid="{7A163B79-260F-4DB8-834D-BB455002AC50}" uniqueName="2" name="val" queryTableFieldId="2" dataDxfId="6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0.2.2:3000/haystac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D982-CEEF-4641-9821-FA7573B0FAC5}">
  <sheetPr codeName="Feuil3"/>
  <dimension ref="A1:B3"/>
  <sheetViews>
    <sheetView workbookViewId="0">
      <selection activeCell="B26" sqref="B26"/>
    </sheetView>
  </sheetViews>
  <sheetFormatPr baseColWidth="10" defaultRowHeight="14.4" x14ac:dyDescent="0.3"/>
  <cols>
    <col min="2" max="2" width="61.33203125" bestFit="1" customWidth="1"/>
  </cols>
  <sheetData>
    <row r="1" spans="1:2" ht="21" x14ac:dyDescent="0.4">
      <c r="A1" s="4" t="s">
        <v>8</v>
      </c>
    </row>
    <row r="3" spans="1:2" x14ac:dyDescent="0.3">
      <c r="A3" s="2" t="s">
        <v>7</v>
      </c>
      <c r="B3" s="7" t="s">
        <v>50</v>
      </c>
    </row>
  </sheetData>
  <hyperlinks>
    <hyperlink ref="B3" r:id="rId1" xr:uid="{99E318E7-F83B-481B-9990-F94EB02ED57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1023A-45C6-4887-BECF-7F205DF914EC}">
  <dimension ref="A1:H2"/>
  <sheetViews>
    <sheetView workbookViewId="0">
      <selection activeCell="A2" sqref="A2"/>
    </sheetView>
  </sheetViews>
  <sheetFormatPr baseColWidth="10" defaultRowHeight="14.4" x14ac:dyDescent="0.3"/>
  <cols>
    <col min="1" max="1" width="16.77734375" bestFit="1" customWidth="1"/>
    <col min="2" max="2" width="17" bestFit="1" customWidth="1"/>
    <col min="3" max="3" width="27" bestFit="1" customWidth="1"/>
    <col min="4" max="4" width="16.21875" bestFit="1" customWidth="1"/>
    <col min="5" max="5" width="11.44140625" bestFit="1" customWidth="1"/>
    <col min="6" max="7" width="24.21875" bestFit="1" customWidth="1"/>
    <col min="8" max="8" width="23.44140625" bestFit="1" customWidth="1"/>
  </cols>
  <sheetData>
    <row r="1" spans="1:8" x14ac:dyDescent="0.3">
      <c r="A1" t="s">
        <v>13</v>
      </c>
      <c r="B1" t="s">
        <v>11</v>
      </c>
      <c r="C1" t="s">
        <v>16</v>
      </c>
      <c r="D1" t="s">
        <v>18</v>
      </c>
      <c r="E1" t="s">
        <v>12</v>
      </c>
      <c r="F1" t="s">
        <v>14</v>
      </c>
      <c r="G1" t="s">
        <v>15</v>
      </c>
      <c r="H1" t="s">
        <v>17</v>
      </c>
    </row>
    <row r="2" spans="1:8" x14ac:dyDescent="0.3">
      <c r="A2" s="1" t="s">
        <v>47</v>
      </c>
      <c r="B2">
        <v>3</v>
      </c>
      <c r="C2" s="1" t="s">
        <v>51</v>
      </c>
      <c r="D2">
        <v>1</v>
      </c>
      <c r="E2" s="1" t="s">
        <v>52</v>
      </c>
      <c r="F2" s="1" t="s">
        <v>133</v>
      </c>
      <c r="G2" s="1" t="s">
        <v>133</v>
      </c>
      <c r="H2" s="1" t="s">
        <v>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ED000-07E8-43A7-8EA2-2F018ADE0636}">
  <dimension ref="A1:B6"/>
  <sheetViews>
    <sheetView workbookViewId="0">
      <selection activeCell="B4" sqref="B4"/>
    </sheetView>
  </sheetViews>
  <sheetFormatPr baseColWidth="10" defaultRowHeight="14.4" x14ac:dyDescent="0.3"/>
  <cols>
    <col min="1" max="1" width="8" bestFit="1" customWidth="1"/>
    <col min="2" max="2" width="80.88671875" bestFit="1" customWidth="1"/>
  </cols>
  <sheetData>
    <row r="1" spans="1:2" x14ac:dyDescent="0.3">
      <c r="A1" t="s">
        <v>19</v>
      </c>
      <c r="B1" t="s">
        <v>20</v>
      </c>
    </row>
    <row r="2" spans="1:2" x14ac:dyDescent="0.3">
      <c r="A2" s="1" t="s">
        <v>21</v>
      </c>
      <c r="B2" s="1" t="s">
        <v>22</v>
      </c>
    </row>
    <row r="3" spans="1:2" x14ac:dyDescent="0.3">
      <c r="A3" s="1" t="s">
        <v>23</v>
      </c>
      <c r="B3" s="1" t="s">
        <v>24</v>
      </c>
    </row>
    <row r="4" spans="1:2" x14ac:dyDescent="0.3">
      <c r="A4" s="1" t="s">
        <v>25</v>
      </c>
      <c r="B4" s="1" t="s">
        <v>26</v>
      </c>
    </row>
    <row r="5" spans="1:2" x14ac:dyDescent="0.3">
      <c r="A5" s="1" t="s">
        <v>27</v>
      </c>
      <c r="B5" s="1" t="s">
        <v>28</v>
      </c>
    </row>
    <row r="6" spans="1:2" x14ac:dyDescent="0.3">
      <c r="A6" s="1" t="s">
        <v>29</v>
      </c>
      <c r="B6" s="1" t="s">
        <v>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57620-613B-4C5B-BFB6-F01268F09357}">
  <dimension ref="A1:C4"/>
  <sheetViews>
    <sheetView workbookViewId="0">
      <selection activeCell="A3" sqref="A3"/>
    </sheetView>
  </sheetViews>
  <sheetFormatPr baseColWidth="10" defaultRowHeight="14.4" x14ac:dyDescent="0.3"/>
  <cols>
    <col min="1" max="1" width="14.109375" bestFit="1" customWidth="1"/>
    <col min="2" max="2" width="9.21875" bestFit="1" customWidth="1"/>
    <col min="3" max="3" width="7.21875" bestFit="1" customWidth="1"/>
  </cols>
  <sheetData>
    <row r="1" spans="1:3" x14ac:dyDescent="0.3">
      <c r="A1" t="s">
        <v>1</v>
      </c>
      <c r="B1" t="s">
        <v>31</v>
      </c>
      <c r="C1" t="s">
        <v>32</v>
      </c>
    </row>
    <row r="2" spans="1:3" x14ac:dyDescent="0.3">
      <c r="A2" s="1" t="s">
        <v>33</v>
      </c>
      <c r="B2" s="1" t="s">
        <v>4</v>
      </c>
      <c r="C2" s="1" t="s">
        <v>4</v>
      </c>
    </row>
    <row r="3" spans="1:3" x14ac:dyDescent="0.3">
      <c r="A3" s="1" t="s">
        <v>6</v>
      </c>
      <c r="B3" s="1" t="s">
        <v>4</v>
      </c>
      <c r="C3" s="1" t="s">
        <v>4</v>
      </c>
    </row>
    <row r="4" spans="1:3" x14ac:dyDescent="0.3">
      <c r="A4" s="1" t="s">
        <v>5</v>
      </c>
      <c r="B4" s="1" t="s">
        <v>4</v>
      </c>
      <c r="C4" s="1" t="s"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E1B7F-EA65-404C-8DB6-EB1FC14D0AAB}">
  <dimension ref="A3:BP11"/>
  <sheetViews>
    <sheetView workbookViewId="0">
      <selection activeCell="A7" sqref="A7"/>
    </sheetView>
  </sheetViews>
  <sheetFormatPr baseColWidth="10" defaultRowHeight="14.4" x14ac:dyDescent="0.3"/>
  <cols>
    <col min="1" max="1" width="54.77734375" bestFit="1" customWidth="1"/>
    <col min="2" max="2" width="5.33203125" bestFit="1" customWidth="1"/>
    <col min="3" max="4" width="8.6640625" bestFit="1" customWidth="1"/>
    <col min="5" max="5" width="10.88671875" bestFit="1" customWidth="1"/>
    <col min="6" max="6" width="7.44140625" bestFit="1" customWidth="1"/>
    <col min="7" max="7" width="9.77734375" bestFit="1" customWidth="1"/>
    <col min="8" max="8" width="8.109375" bestFit="1" customWidth="1"/>
    <col min="9" max="9" width="7.6640625" bestFit="1" customWidth="1"/>
    <col min="10" max="10" width="9.44140625" bestFit="1" customWidth="1"/>
    <col min="11" max="11" width="9.77734375" bestFit="1" customWidth="1"/>
    <col min="12" max="12" width="5.109375" bestFit="1" customWidth="1"/>
    <col min="13" max="13" width="6.88671875" bestFit="1" customWidth="1"/>
    <col min="14" max="14" width="6.109375" bestFit="1" customWidth="1"/>
    <col min="15" max="15" width="12.88671875" bestFit="1" customWidth="1"/>
    <col min="16" max="16" width="10.21875" bestFit="1" customWidth="1"/>
    <col min="17" max="17" width="10.5546875" bestFit="1" customWidth="1"/>
    <col min="18" max="18" width="8.77734375" bestFit="1" customWidth="1"/>
    <col min="19" max="19" width="11.109375" bestFit="1" customWidth="1"/>
    <col min="20" max="20" width="6" bestFit="1" customWidth="1"/>
    <col min="21" max="21" width="36.109375" bestFit="1" customWidth="1"/>
    <col min="22" max="22" width="17.109375" bestFit="1" customWidth="1"/>
    <col min="23" max="23" width="7.5546875" bestFit="1" customWidth="1"/>
    <col min="24" max="24" width="6.88671875" bestFit="1" customWidth="1"/>
    <col min="25" max="25" width="13.109375" bestFit="1" customWidth="1"/>
    <col min="26" max="26" width="6.5546875" bestFit="1" customWidth="1"/>
    <col min="27" max="27" width="7.6640625" bestFit="1" customWidth="1"/>
    <col min="28" max="28" width="11.33203125" bestFit="1" customWidth="1"/>
    <col min="29" max="29" width="14.109375" bestFit="1" customWidth="1"/>
    <col min="30" max="30" width="10.6640625" bestFit="1" customWidth="1"/>
    <col min="31" max="31" width="11.21875" bestFit="1" customWidth="1"/>
    <col min="32" max="32" width="11.44140625" bestFit="1" customWidth="1"/>
    <col min="33" max="33" width="35.77734375" bestFit="1" customWidth="1"/>
    <col min="34" max="34" width="14.88671875" bestFit="1" customWidth="1"/>
    <col min="35" max="35" width="10.5546875" bestFit="1" customWidth="1"/>
    <col min="36" max="36" width="8" bestFit="1" customWidth="1"/>
    <col min="37" max="37" width="10.5546875" bestFit="1" customWidth="1"/>
    <col min="38" max="38" width="6.77734375" bestFit="1" customWidth="1"/>
    <col min="39" max="39" width="6.44140625" bestFit="1" customWidth="1"/>
    <col min="40" max="40" width="7.21875" bestFit="1" customWidth="1"/>
    <col min="41" max="41" width="13.5546875" bestFit="1" customWidth="1"/>
    <col min="42" max="42" width="7.6640625" bestFit="1" customWidth="1"/>
    <col min="43" max="43" width="12.88671875" bestFit="1" customWidth="1"/>
    <col min="44" max="44" width="11.21875" bestFit="1" customWidth="1"/>
    <col min="45" max="45" width="7.21875" bestFit="1" customWidth="1"/>
    <col min="46" max="46" width="8.5546875" bestFit="1" customWidth="1"/>
    <col min="47" max="47" width="9.5546875" bestFit="1" customWidth="1"/>
    <col min="48" max="48" width="9.6640625" bestFit="1" customWidth="1"/>
    <col min="49" max="49" width="13.44140625" bestFit="1" customWidth="1"/>
    <col min="50" max="50" width="9.44140625" bestFit="1" customWidth="1"/>
    <col min="51" max="51" width="7.6640625" bestFit="1" customWidth="1"/>
    <col min="52" max="52" width="8.33203125" bestFit="1" customWidth="1"/>
    <col min="53" max="53" width="9" bestFit="1" customWidth="1"/>
    <col min="54" max="54" width="15.77734375" bestFit="1" customWidth="1"/>
    <col min="55" max="55" width="10.44140625" bestFit="1" customWidth="1"/>
    <col min="56" max="56" width="5.88671875" bestFit="1" customWidth="1"/>
    <col min="57" max="57" width="10.6640625" bestFit="1" customWidth="1"/>
    <col min="58" max="58" width="15.77734375" bestFit="1" customWidth="1"/>
    <col min="59" max="59" width="49.44140625" bestFit="1" customWidth="1"/>
    <col min="60" max="60" width="8.21875" bestFit="1" customWidth="1"/>
    <col min="61" max="61" width="10.33203125" bestFit="1" customWidth="1"/>
    <col min="62" max="62" width="7" bestFit="1" customWidth="1"/>
    <col min="63" max="63" width="8.44140625" bestFit="1" customWidth="1"/>
    <col min="65" max="65" width="5.5546875" bestFit="1" customWidth="1"/>
    <col min="66" max="66" width="8.33203125" bestFit="1" customWidth="1"/>
    <col min="67" max="67" width="7.6640625" bestFit="1" customWidth="1"/>
    <col min="68" max="68" width="29.6640625" bestFit="1" customWidth="1"/>
  </cols>
  <sheetData>
    <row r="3" spans="1:68" x14ac:dyDescent="0.3">
      <c r="A3" s="2" t="s">
        <v>2</v>
      </c>
      <c r="B3" s="2"/>
      <c r="C3" s="9" t="s">
        <v>48</v>
      </c>
      <c r="D3" s="9"/>
      <c r="E3" s="9"/>
    </row>
    <row r="4" spans="1:68" x14ac:dyDescent="0.3">
      <c r="A4" s="2" t="s">
        <v>0</v>
      </c>
      <c r="B4" s="2"/>
      <c r="C4" s="3">
        <v>5</v>
      </c>
    </row>
    <row r="6" spans="1:68" x14ac:dyDescent="0.3">
      <c r="A6" t="s">
        <v>37</v>
      </c>
      <c r="B6" t="s">
        <v>54</v>
      </c>
      <c r="C6" t="s">
        <v>55</v>
      </c>
      <c r="D6" t="s">
        <v>56</v>
      </c>
      <c r="E6" t="s">
        <v>57</v>
      </c>
      <c r="F6" t="s">
        <v>58</v>
      </c>
      <c r="G6" t="s">
        <v>59</v>
      </c>
      <c r="H6" t="s">
        <v>60</v>
      </c>
      <c r="I6" t="s">
        <v>61</v>
      </c>
      <c r="J6" t="s">
        <v>12</v>
      </c>
      <c r="K6" t="s">
        <v>62</v>
      </c>
      <c r="L6" t="s">
        <v>63</v>
      </c>
      <c r="M6" t="s">
        <v>35</v>
      </c>
      <c r="N6" t="s">
        <v>39</v>
      </c>
      <c r="O6" t="s">
        <v>64</v>
      </c>
      <c r="P6" t="s">
        <v>65</v>
      </c>
      <c r="Q6" t="s">
        <v>66</v>
      </c>
      <c r="R6" t="s">
        <v>67</v>
      </c>
      <c r="S6" t="s">
        <v>20</v>
      </c>
      <c r="T6" t="s">
        <v>68</v>
      </c>
      <c r="U6" t="s">
        <v>40</v>
      </c>
      <c r="V6" t="s">
        <v>69</v>
      </c>
      <c r="W6" t="s">
        <v>70</v>
      </c>
      <c r="X6" t="s">
        <v>71</v>
      </c>
      <c r="Y6" t="s">
        <v>44</v>
      </c>
      <c r="Z6" t="s">
        <v>36</v>
      </c>
      <c r="AA6" t="s">
        <v>72</v>
      </c>
      <c r="AB6" t="s">
        <v>73</v>
      </c>
      <c r="AC6" t="s">
        <v>74</v>
      </c>
      <c r="AD6" t="s">
        <v>75</v>
      </c>
      <c r="AE6" t="s">
        <v>76</v>
      </c>
      <c r="AF6" t="s">
        <v>49</v>
      </c>
      <c r="AG6" t="s">
        <v>77</v>
      </c>
      <c r="AH6" t="s">
        <v>78</v>
      </c>
      <c r="AI6" t="s">
        <v>79</v>
      </c>
      <c r="AJ6" t="s">
        <v>80</v>
      </c>
      <c r="AK6" t="s">
        <v>81</v>
      </c>
      <c r="AL6" t="s">
        <v>82</v>
      </c>
      <c r="AM6" t="s">
        <v>83</v>
      </c>
      <c r="AN6" t="s">
        <v>84</v>
      </c>
      <c r="AO6" t="s">
        <v>85</v>
      </c>
      <c r="AP6" t="s">
        <v>86</v>
      </c>
      <c r="AQ6" t="s">
        <v>87</v>
      </c>
      <c r="AR6" t="s">
        <v>88</v>
      </c>
      <c r="AS6" t="s">
        <v>89</v>
      </c>
      <c r="AT6" t="s">
        <v>90</v>
      </c>
      <c r="AU6" t="s">
        <v>91</v>
      </c>
      <c r="AV6" t="s">
        <v>92</v>
      </c>
      <c r="AW6" t="s">
        <v>93</v>
      </c>
      <c r="AX6" t="s">
        <v>94</v>
      </c>
      <c r="AY6" t="s">
        <v>34</v>
      </c>
      <c r="AZ6" t="s">
        <v>43</v>
      </c>
      <c r="BA6" t="s">
        <v>95</v>
      </c>
      <c r="BB6" t="s">
        <v>96</v>
      </c>
      <c r="BC6" t="s">
        <v>97</v>
      </c>
      <c r="BD6" t="s">
        <v>98</v>
      </c>
      <c r="BE6" t="s">
        <v>45</v>
      </c>
      <c r="BF6" t="s">
        <v>99</v>
      </c>
      <c r="BG6" t="s">
        <v>100</v>
      </c>
      <c r="BH6" t="s">
        <v>38</v>
      </c>
      <c r="BI6" t="s">
        <v>101</v>
      </c>
      <c r="BJ6" t="s">
        <v>102</v>
      </c>
      <c r="BK6" t="s">
        <v>103</v>
      </c>
      <c r="BL6" t="s">
        <v>104</v>
      </c>
      <c r="BM6" t="s">
        <v>48</v>
      </c>
      <c r="BN6" t="s">
        <v>105</v>
      </c>
      <c r="BO6" t="s">
        <v>106</v>
      </c>
      <c r="BP6" t="s">
        <v>46</v>
      </c>
    </row>
    <row r="7" spans="1:68" x14ac:dyDescent="0.3">
      <c r="A7" s="1" t="s">
        <v>112</v>
      </c>
      <c r="B7" s="1" t="s">
        <v>3</v>
      </c>
      <c r="C7" s="1" t="s">
        <v>3</v>
      </c>
      <c r="D7" s="1" t="s">
        <v>3</v>
      </c>
      <c r="E7" s="1" t="s">
        <v>3</v>
      </c>
      <c r="F7" s="1" t="s">
        <v>3</v>
      </c>
      <c r="G7" s="1" t="s">
        <v>3</v>
      </c>
      <c r="H7" s="1" t="s">
        <v>3</v>
      </c>
      <c r="I7" s="1" t="s">
        <v>3</v>
      </c>
      <c r="J7" s="1" t="s">
        <v>107</v>
      </c>
      <c r="K7" s="1" t="s">
        <v>4</v>
      </c>
      <c r="L7" s="1" t="s">
        <v>4</v>
      </c>
      <c r="M7" s="1" t="s">
        <v>3</v>
      </c>
      <c r="N7" s="1" t="s">
        <v>3</v>
      </c>
      <c r="O7" s="1" t="s">
        <v>3</v>
      </c>
      <c r="P7" s="1" t="s">
        <v>3</v>
      </c>
      <c r="Q7" s="1" t="s">
        <v>3</v>
      </c>
      <c r="R7" s="1" t="s">
        <v>3</v>
      </c>
      <c r="S7" s="1" t="s">
        <v>3</v>
      </c>
      <c r="T7" s="1" t="s">
        <v>3</v>
      </c>
      <c r="U7" s="1" t="s">
        <v>109</v>
      </c>
      <c r="V7" s="1" t="s">
        <v>3</v>
      </c>
      <c r="W7" s="1" t="s">
        <v>110</v>
      </c>
      <c r="X7" s="1" t="s">
        <v>3</v>
      </c>
      <c r="Y7" s="1" t="s">
        <v>3</v>
      </c>
      <c r="Z7" s="1" t="s">
        <v>3</v>
      </c>
      <c r="AA7" s="1" t="s">
        <v>3</v>
      </c>
      <c r="AB7" s="1" t="s">
        <v>3</v>
      </c>
      <c r="AC7" s="8"/>
      <c r="AD7" s="1" t="s">
        <v>3</v>
      </c>
      <c r="AE7" s="1" t="s">
        <v>3</v>
      </c>
      <c r="AF7" s="1" t="s">
        <v>3</v>
      </c>
      <c r="AG7" s="1" t="s">
        <v>3</v>
      </c>
      <c r="AH7" s="8"/>
      <c r="AI7" s="1" t="s">
        <v>3</v>
      </c>
      <c r="AJ7" s="1" t="s">
        <v>3</v>
      </c>
      <c r="AK7" s="1" t="s">
        <v>3</v>
      </c>
      <c r="AL7" s="1" t="s">
        <v>3</v>
      </c>
      <c r="AM7" s="1" t="s">
        <v>3</v>
      </c>
      <c r="AN7" s="1" t="s">
        <v>3</v>
      </c>
      <c r="AO7" s="1" t="s">
        <v>3</v>
      </c>
      <c r="AP7" s="1" t="s">
        <v>3</v>
      </c>
      <c r="AQ7" s="1" t="s">
        <v>3</v>
      </c>
      <c r="AR7" s="1" t="s">
        <v>3</v>
      </c>
      <c r="AS7" s="1" t="s">
        <v>3</v>
      </c>
      <c r="AT7" s="1" t="s">
        <v>3</v>
      </c>
      <c r="AU7" s="1" t="s">
        <v>3</v>
      </c>
      <c r="AV7" s="1" t="s">
        <v>3</v>
      </c>
      <c r="AW7" s="1" t="s">
        <v>3</v>
      </c>
      <c r="AX7" s="1" t="s">
        <v>3</v>
      </c>
      <c r="AY7" s="1" t="s">
        <v>4</v>
      </c>
      <c r="AZ7" s="1" t="s">
        <v>111</v>
      </c>
      <c r="BA7" s="1" t="s">
        <v>3</v>
      </c>
      <c r="BB7" s="1" t="s">
        <v>3</v>
      </c>
      <c r="BC7" s="1" t="s">
        <v>3</v>
      </c>
      <c r="BD7" s="1" t="s">
        <v>3</v>
      </c>
      <c r="BE7" s="1" t="s">
        <v>3</v>
      </c>
      <c r="BG7" s="1" t="s">
        <v>113</v>
      </c>
      <c r="BH7" s="1" t="s">
        <v>3</v>
      </c>
      <c r="BI7" s="1" t="s">
        <v>3</v>
      </c>
      <c r="BJ7" s="1" t="s">
        <v>3</v>
      </c>
      <c r="BK7" s="1" t="s">
        <v>3</v>
      </c>
      <c r="BL7" s="1" t="s">
        <v>3</v>
      </c>
      <c r="BM7" s="1" t="s">
        <v>4</v>
      </c>
      <c r="BN7" s="1" t="s">
        <v>3</v>
      </c>
      <c r="BO7" s="1" t="s">
        <v>3</v>
      </c>
      <c r="BP7" s="1" t="s">
        <v>114</v>
      </c>
    </row>
    <row r="8" spans="1:68" x14ac:dyDescent="0.3">
      <c r="A8" s="1" t="s">
        <v>119</v>
      </c>
      <c r="B8" s="1" t="s">
        <v>4</v>
      </c>
      <c r="C8" s="1" t="s">
        <v>3</v>
      </c>
      <c r="D8" s="1" t="s">
        <v>3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4</v>
      </c>
      <c r="J8" s="1" t="s">
        <v>107</v>
      </c>
      <c r="K8" s="1" t="s">
        <v>3</v>
      </c>
      <c r="L8" s="1" t="s">
        <v>4</v>
      </c>
      <c r="M8" s="1" t="s">
        <v>3</v>
      </c>
      <c r="N8" s="1" t="s">
        <v>3</v>
      </c>
      <c r="O8" s="1" t="s">
        <v>3</v>
      </c>
      <c r="P8" s="1" t="s">
        <v>3</v>
      </c>
      <c r="Q8" s="1" t="s">
        <v>115</v>
      </c>
      <c r="R8" s="1" t="s">
        <v>3</v>
      </c>
      <c r="S8" s="1" t="s">
        <v>3</v>
      </c>
      <c r="T8" s="1" t="s">
        <v>3</v>
      </c>
      <c r="U8" s="1" t="s">
        <v>109</v>
      </c>
      <c r="V8" s="1" t="s">
        <v>3</v>
      </c>
      <c r="W8" s="1" t="s">
        <v>116</v>
      </c>
      <c r="X8" s="1" t="s">
        <v>3</v>
      </c>
      <c r="Y8" s="1" t="s">
        <v>3</v>
      </c>
      <c r="Z8" s="1" t="s">
        <v>3</v>
      </c>
      <c r="AA8" s="1" t="s">
        <v>3</v>
      </c>
      <c r="AB8" s="1" t="s">
        <v>3</v>
      </c>
      <c r="AC8" s="8"/>
      <c r="AD8" s="1" t="s">
        <v>3</v>
      </c>
      <c r="AE8" s="1" t="s">
        <v>3</v>
      </c>
      <c r="AF8" s="1" t="s">
        <v>3</v>
      </c>
      <c r="AG8" s="1" t="s">
        <v>108</v>
      </c>
      <c r="AH8" s="8"/>
      <c r="AI8" s="1" t="s">
        <v>4</v>
      </c>
      <c r="AJ8" s="1" t="s">
        <v>3</v>
      </c>
      <c r="AK8" s="1" t="s">
        <v>3</v>
      </c>
      <c r="AL8" s="1" t="s">
        <v>3</v>
      </c>
      <c r="AM8" s="1" t="s">
        <v>3</v>
      </c>
      <c r="AN8" s="1" t="s">
        <v>3</v>
      </c>
      <c r="AO8" s="1" t="s">
        <v>3</v>
      </c>
      <c r="AP8" s="1" t="s">
        <v>117</v>
      </c>
      <c r="AQ8" s="1" t="s">
        <v>3</v>
      </c>
      <c r="AR8" s="1" t="s">
        <v>3</v>
      </c>
      <c r="AS8" s="1" t="s">
        <v>4</v>
      </c>
      <c r="AT8" s="1" t="s">
        <v>3</v>
      </c>
      <c r="AU8" s="1" t="s">
        <v>3</v>
      </c>
      <c r="AV8" s="1" t="s">
        <v>3</v>
      </c>
      <c r="AW8" s="1" t="s">
        <v>118</v>
      </c>
      <c r="AX8" s="1" t="s">
        <v>3</v>
      </c>
      <c r="AY8" s="1" t="s">
        <v>4</v>
      </c>
      <c r="AZ8" s="1" t="s">
        <v>3</v>
      </c>
      <c r="BA8" s="1" t="s">
        <v>3</v>
      </c>
      <c r="BB8" s="1" t="s">
        <v>3</v>
      </c>
      <c r="BC8" s="1" t="s">
        <v>3</v>
      </c>
      <c r="BD8" s="1" t="s">
        <v>4</v>
      </c>
      <c r="BE8" s="1" t="s">
        <v>3</v>
      </c>
      <c r="BG8" s="1" t="s">
        <v>120</v>
      </c>
      <c r="BH8" s="1" t="s">
        <v>3</v>
      </c>
      <c r="BI8" s="1" t="s">
        <v>3</v>
      </c>
      <c r="BJ8" s="1" t="s">
        <v>3</v>
      </c>
      <c r="BK8" s="1" t="s">
        <v>3</v>
      </c>
      <c r="BL8" s="1" t="s">
        <v>3</v>
      </c>
      <c r="BM8" s="1" t="s">
        <v>4</v>
      </c>
      <c r="BN8" s="1" t="s">
        <v>3</v>
      </c>
      <c r="BO8" s="1" t="s">
        <v>3</v>
      </c>
      <c r="BP8" s="1" t="s">
        <v>121</v>
      </c>
    </row>
    <row r="9" spans="1:68" x14ac:dyDescent="0.3">
      <c r="A9" s="1" t="s">
        <v>124</v>
      </c>
      <c r="B9" s="1" t="s">
        <v>3</v>
      </c>
      <c r="C9" s="1" t="s">
        <v>3</v>
      </c>
      <c r="D9" s="1" t="s">
        <v>4</v>
      </c>
      <c r="E9" s="1" t="s">
        <v>3</v>
      </c>
      <c r="F9" s="1" t="s">
        <v>3</v>
      </c>
      <c r="G9" s="1" t="s">
        <v>3</v>
      </c>
      <c r="H9" s="1" t="s">
        <v>3</v>
      </c>
      <c r="I9" s="1" t="s">
        <v>3</v>
      </c>
      <c r="J9" s="1" t="s">
        <v>107</v>
      </c>
      <c r="K9" s="1" t="s">
        <v>3</v>
      </c>
      <c r="L9" s="1" t="s">
        <v>3</v>
      </c>
      <c r="M9" s="1" t="s">
        <v>3</v>
      </c>
      <c r="N9" s="1" t="s">
        <v>3</v>
      </c>
      <c r="O9" s="1" t="s">
        <v>3</v>
      </c>
      <c r="P9" s="1" t="s">
        <v>3</v>
      </c>
      <c r="Q9" s="1" t="s">
        <v>122</v>
      </c>
      <c r="R9" s="1" t="s">
        <v>4</v>
      </c>
      <c r="S9" s="1" t="s">
        <v>3</v>
      </c>
      <c r="T9" s="1" t="s">
        <v>3</v>
      </c>
      <c r="U9" s="1" t="s">
        <v>109</v>
      </c>
      <c r="V9" s="1" t="s">
        <v>3</v>
      </c>
      <c r="W9" s="1" t="s">
        <v>116</v>
      </c>
      <c r="X9" s="1" t="s">
        <v>3</v>
      </c>
      <c r="Y9" s="1" t="s">
        <v>3</v>
      </c>
      <c r="Z9" s="1" t="s">
        <v>3</v>
      </c>
      <c r="AA9" s="1" t="s">
        <v>3</v>
      </c>
      <c r="AB9" s="1" t="s">
        <v>3</v>
      </c>
      <c r="AC9" s="8"/>
      <c r="AD9" s="1" t="s">
        <v>3</v>
      </c>
      <c r="AE9" s="1" t="s">
        <v>4</v>
      </c>
      <c r="AF9" s="1" t="s">
        <v>3</v>
      </c>
      <c r="AG9" s="1" t="s">
        <v>108</v>
      </c>
      <c r="AH9" s="8"/>
      <c r="AI9" s="1" t="s">
        <v>3</v>
      </c>
      <c r="AJ9" s="1" t="s">
        <v>3</v>
      </c>
      <c r="AK9" s="1" t="s">
        <v>3</v>
      </c>
      <c r="AL9" s="1" t="s">
        <v>3</v>
      </c>
      <c r="AM9" s="1" t="s">
        <v>3</v>
      </c>
      <c r="AN9" s="1" t="s">
        <v>3</v>
      </c>
      <c r="AO9" s="1" t="s">
        <v>3</v>
      </c>
      <c r="AP9" s="1" t="s">
        <v>123</v>
      </c>
      <c r="AQ9" s="1" t="s">
        <v>3</v>
      </c>
      <c r="AR9" s="1" t="s">
        <v>3</v>
      </c>
      <c r="AS9" s="1" t="s">
        <v>3</v>
      </c>
      <c r="AT9" s="1" t="s">
        <v>4</v>
      </c>
      <c r="AU9" s="1" t="s">
        <v>3</v>
      </c>
      <c r="AV9" s="1" t="s">
        <v>3</v>
      </c>
      <c r="AW9" s="1" t="s">
        <v>123</v>
      </c>
      <c r="AX9" s="1" t="s">
        <v>3</v>
      </c>
      <c r="AY9" s="1" t="s">
        <v>4</v>
      </c>
      <c r="AZ9" s="1" t="s">
        <v>3</v>
      </c>
      <c r="BA9" s="1" t="s">
        <v>3</v>
      </c>
      <c r="BB9" s="1" t="s">
        <v>3</v>
      </c>
      <c r="BC9" s="1" t="s">
        <v>3</v>
      </c>
      <c r="BD9" s="1" t="s">
        <v>4</v>
      </c>
      <c r="BE9" s="1" t="s">
        <v>3</v>
      </c>
      <c r="BG9" s="1" t="s">
        <v>113</v>
      </c>
      <c r="BH9" s="1" t="s">
        <v>3</v>
      </c>
      <c r="BI9" s="1" t="s">
        <v>3</v>
      </c>
      <c r="BJ9" s="1" t="s">
        <v>3</v>
      </c>
      <c r="BK9" s="1" t="s">
        <v>3</v>
      </c>
      <c r="BL9" s="1" t="s">
        <v>3</v>
      </c>
      <c r="BM9" s="1" t="s">
        <v>4</v>
      </c>
      <c r="BN9" s="1" t="s">
        <v>3</v>
      </c>
      <c r="BO9" s="1" t="s">
        <v>3</v>
      </c>
      <c r="BP9" s="1" t="s">
        <v>125</v>
      </c>
    </row>
    <row r="10" spans="1:68" x14ac:dyDescent="0.3">
      <c r="A10" s="1" t="s">
        <v>127</v>
      </c>
      <c r="B10" s="1" t="s">
        <v>4</v>
      </c>
      <c r="C10" s="1" t="s">
        <v>3</v>
      </c>
      <c r="D10" s="1" t="s">
        <v>4</v>
      </c>
      <c r="E10" s="1" t="s">
        <v>3</v>
      </c>
      <c r="F10" s="1" t="s">
        <v>3</v>
      </c>
      <c r="G10" s="1" t="s">
        <v>3</v>
      </c>
      <c r="H10" s="1" t="s">
        <v>3</v>
      </c>
      <c r="I10" s="1" t="s">
        <v>4</v>
      </c>
      <c r="J10" s="1" t="s">
        <v>107</v>
      </c>
      <c r="K10" s="1" t="s">
        <v>3</v>
      </c>
      <c r="L10" s="1" t="s">
        <v>3</v>
      </c>
      <c r="M10" s="1" t="s">
        <v>3</v>
      </c>
      <c r="N10" s="1" t="s">
        <v>3</v>
      </c>
      <c r="O10" s="1" t="s">
        <v>3</v>
      </c>
      <c r="P10" s="1" t="s">
        <v>3</v>
      </c>
      <c r="Q10" s="1" t="s">
        <v>122</v>
      </c>
      <c r="R10" s="1" t="s">
        <v>3</v>
      </c>
      <c r="S10" s="1" t="s">
        <v>4</v>
      </c>
      <c r="T10" s="1" t="s">
        <v>3</v>
      </c>
      <c r="U10" s="1" t="s">
        <v>109</v>
      </c>
      <c r="V10" s="1" t="s">
        <v>3</v>
      </c>
      <c r="W10" s="1" t="s">
        <v>116</v>
      </c>
      <c r="X10" s="1" t="s">
        <v>3</v>
      </c>
      <c r="Y10" s="1" t="s">
        <v>3</v>
      </c>
      <c r="Z10" s="1" t="s">
        <v>3</v>
      </c>
      <c r="AA10" s="1" t="s">
        <v>3</v>
      </c>
      <c r="AB10" s="1" t="s">
        <v>3</v>
      </c>
      <c r="AC10" s="8"/>
      <c r="AD10" s="1" t="s">
        <v>3</v>
      </c>
      <c r="AE10" s="1" t="s">
        <v>3</v>
      </c>
      <c r="AF10" s="1" t="s">
        <v>3</v>
      </c>
      <c r="AG10" s="1" t="s">
        <v>108</v>
      </c>
      <c r="AH10" s="8"/>
      <c r="AI10" s="1" t="s">
        <v>3</v>
      </c>
      <c r="AJ10" s="1" t="s">
        <v>3</v>
      </c>
      <c r="AK10" s="1" t="s">
        <v>3</v>
      </c>
      <c r="AL10" s="1" t="s">
        <v>3</v>
      </c>
      <c r="AM10" s="1" t="s">
        <v>3</v>
      </c>
      <c r="AN10" s="1" t="s">
        <v>3</v>
      </c>
      <c r="AO10" s="1" t="s">
        <v>3</v>
      </c>
      <c r="AP10" s="1" t="s">
        <v>117</v>
      </c>
      <c r="AQ10" s="1" t="s">
        <v>3</v>
      </c>
      <c r="AR10" s="1" t="s">
        <v>3</v>
      </c>
      <c r="AS10" s="1" t="s">
        <v>4</v>
      </c>
      <c r="AT10" s="1" t="s">
        <v>3</v>
      </c>
      <c r="AU10" s="1" t="s">
        <v>3</v>
      </c>
      <c r="AV10" s="1" t="s">
        <v>3</v>
      </c>
      <c r="AW10" s="1" t="s">
        <v>126</v>
      </c>
      <c r="AX10" s="1" t="s">
        <v>3</v>
      </c>
      <c r="AY10" s="1" t="s">
        <v>4</v>
      </c>
      <c r="AZ10" s="1" t="s">
        <v>3</v>
      </c>
      <c r="BA10" s="1" t="s">
        <v>3</v>
      </c>
      <c r="BB10" s="1" t="s">
        <v>3</v>
      </c>
      <c r="BC10" s="1" t="s">
        <v>3</v>
      </c>
      <c r="BD10" s="1" t="s">
        <v>4</v>
      </c>
      <c r="BE10" s="1" t="s">
        <v>3</v>
      </c>
      <c r="BG10" s="1" t="s">
        <v>120</v>
      </c>
      <c r="BH10" s="1" t="s">
        <v>3</v>
      </c>
      <c r="BI10" s="1" t="s">
        <v>3</v>
      </c>
      <c r="BJ10" s="1" t="s">
        <v>3</v>
      </c>
      <c r="BK10" s="1" t="s">
        <v>3</v>
      </c>
      <c r="BL10" s="1" t="s">
        <v>3</v>
      </c>
      <c r="BM10" s="1" t="s">
        <v>4</v>
      </c>
      <c r="BN10" s="1" t="s">
        <v>3</v>
      </c>
      <c r="BO10" s="1" t="s">
        <v>3</v>
      </c>
      <c r="BP10" s="1" t="s">
        <v>128</v>
      </c>
    </row>
    <row r="11" spans="1:68" x14ac:dyDescent="0.3">
      <c r="A11" s="1" t="s">
        <v>130</v>
      </c>
      <c r="B11" s="1" t="s">
        <v>4</v>
      </c>
      <c r="C11" s="1" t="s">
        <v>3</v>
      </c>
      <c r="D11" s="1" t="s">
        <v>4</v>
      </c>
      <c r="E11" s="1" t="s">
        <v>3</v>
      </c>
      <c r="F11" s="1" t="s">
        <v>3</v>
      </c>
      <c r="G11" s="1" t="s">
        <v>3</v>
      </c>
      <c r="H11" s="1" t="s">
        <v>3</v>
      </c>
      <c r="I11" s="1" t="s">
        <v>4</v>
      </c>
      <c r="J11" s="1" t="s">
        <v>107</v>
      </c>
      <c r="K11" s="1" t="s">
        <v>3</v>
      </c>
      <c r="L11" s="1" t="s">
        <v>3</v>
      </c>
      <c r="M11" s="1" t="s">
        <v>3</v>
      </c>
      <c r="N11" s="1" t="s">
        <v>3</v>
      </c>
      <c r="O11" s="1" t="s">
        <v>3</v>
      </c>
      <c r="P11" s="1" t="s">
        <v>3</v>
      </c>
      <c r="Q11" s="1" t="s">
        <v>122</v>
      </c>
      <c r="R11" s="1" t="s">
        <v>3</v>
      </c>
      <c r="S11" s="1" t="s">
        <v>3</v>
      </c>
      <c r="T11" s="1" t="s">
        <v>3</v>
      </c>
      <c r="U11" s="1" t="s">
        <v>109</v>
      </c>
      <c r="V11" s="1" t="s">
        <v>3</v>
      </c>
      <c r="W11" s="1" t="s">
        <v>116</v>
      </c>
      <c r="X11" s="1" t="s">
        <v>3</v>
      </c>
      <c r="Y11" s="1" t="s">
        <v>3</v>
      </c>
      <c r="Z11" s="1" t="s">
        <v>3</v>
      </c>
      <c r="AA11" s="1" t="s">
        <v>3</v>
      </c>
      <c r="AB11" s="1" t="s">
        <v>3</v>
      </c>
      <c r="AC11" s="8"/>
      <c r="AD11" s="1" t="s">
        <v>3</v>
      </c>
      <c r="AE11" s="1" t="s">
        <v>3</v>
      </c>
      <c r="AF11" s="1" t="s">
        <v>3</v>
      </c>
      <c r="AG11" s="1" t="s">
        <v>108</v>
      </c>
      <c r="AH11" s="8"/>
      <c r="AI11" s="1" t="s">
        <v>3</v>
      </c>
      <c r="AJ11" s="1" t="s">
        <v>3</v>
      </c>
      <c r="AK11" s="1" t="s">
        <v>3</v>
      </c>
      <c r="AL11" s="1" t="s">
        <v>3</v>
      </c>
      <c r="AM11" s="1" t="s">
        <v>3</v>
      </c>
      <c r="AN11" s="1" t="s">
        <v>3</v>
      </c>
      <c r="AO11" s="1" t="s">
        <v>3</v>
      </c>
      <c r="AP11" s="1" t="s">
        <v>117</v>
      </c>
      <c r="AQ11" s="1" t="s">
        <v>3</v>
      </c>
      <c r="AR11" s="1" t="s">
        <v>4</v>
      </c>
      <c r="AS11" s="1" t="s">
        <v>3</v>
      </c>
      <c r="AT11" s="1" t="s">
        <v>3</v>
      </c>
      <c r="AU11" s="1" t="s">
        <v>3</v>
      </c>
      <c r="AV11" s="1" t="s">
        <v>3</v>
      </c>
      <c r="AW11" s="1" t="s">
        <v>129</v>
      </c>
      <c r="AX11" s="1" t="s">
        <v>3</v>
      </c>
      <c r="AY11" s="1" t="s">
        <v>4</v>
      </c>
      <c r="AZ11" s="1" t="s">
        <v>3</v>
      </c>
      <c r="BA11" s="1" t="s">
        <v>3</v>
      </c>
      <c r="BB11" s="1" t="s">
        <v>3</v>
      </c>
      <c r="BC11" s="1" t="s">
        <v>3</v>
      </c>
      <c r="BD11" s="1" t="s">
        <v>4</v>
      </c>
      <c r="BE11" s="1" t="s">
        <v>3</v>
      </c>
      <c r="BG11" s="1" t="s">
        <v>120</v>
      </c>
      <c r="BH11" s="1" t="s">
        <v>3</v>
      </c>
      <c r="BI11" s="1" t="s">
        <v>3</v>
      </c>
      <c r="BJ11" s="1" t="s">
        <v>3</v>
      </c>
      <c r="BK11" s="1" t="s">
        <v>3</v>
      </c>
      <c r="BL11" s="1" t="s">
        <v>3</v>
      </c>
      <c r="BM11" s="1" t="s">
        <v>4</v>
      </c>
      <c r="BN11" s="1" t="s">
        <v>3</v>
      </c>
      <c r="BO11" s="1" t="s">
        <v>3</v>
      </c>
      <c r="BP11" s="1" t="s">
        <v>131</v>
      </c>
    </row>
  </sheetData>
  <mergeCells count="1">
    <mergeCell ref="C3:E3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B4F84-D3DD-481F-8DBC-A7C1680F6AB2}">
  <dimension ref="A2:H18"/>
  <sheetViews>
    <sheetView tabSelected="1" workbookViewId="0">
      <selection activeCell="K19" sqref="K19"/>
    </sheetView>
  </sheetViews>
  <sheetFormatPr baseColWidth="10" defaultRowHeight="14.4" x14ac:dyDescent="0.3"/>
  <cols>
    <col min="1" max="1" width="15.5546875" bestFit="1" customWidth="1"/>
    <col min="2" max="2" width="5.6640625" bestFit="1" customWidth="1"/>
  </cols>
  <sheetData>
    <row r="2" spans="1:8" x14ac:dyDescent="0.3">
      <c r="A2" s="2" t="s">
        <v>9</v>
      </c>
      <c r="B2" s="2"/>
      <c r="C2" s="6" t="str">
        <f>LEFT(read!A7,SEARCH(" ",read!A7)-1)</f>
        <v>@p:demo:r:23a44701-bbc36976</v>
      </c>
      <c r="F2" s="6"/>
      <c r="H2" s="6"/>
    </row>
    <row r="3" spans="1:8" x14ac:dyDescent="0.3">
      <c r="A3" s="2" t="s">
        <v>10</v>
      </c>
      <c r="B3" s="2"/>
      <c r="C3" s="3" t="s">
        <v>42</v>
      </c>
    </row>
    <row r="6" spans="1:8" x14ac:dyDescent="0.3">
      <c r="A6" t="s">
        <v>132</v>
      </c>
      <c r="B6" t="s">
        <v>41</v>
      </c>
    </row>
    <row r="7" spans="1:8" x14ac:dyDescent="0.3">
      <c r="A7" s="5">
        <v>43862.041666666664</v>
      </c>
      <c r="B7" s="1">
        <v>740</v>
      </c>
    </row>
    <row r="8" spans="1:8" x14ac:dyDescent="0.3">
      <c r="A8" s="5">
        <v>43891.041666666664</v>
      </c>
      <c r="B8" s="1">
        <v>720</v>
      </c>
    </row>
    <row r="9" spans="1:8" x14ac:dyDescent="0.3">
      <c r="A9" s="5">
        <v>43922.083333333336</v>
      </c>
      <c r="B9" s="1">
        <v>680</v>
      </c>
    </row>
    <row r="10" spans="1:8" x14ac:dyDescent="0.3">
      <c r="A10" s="5">
        <v>43952.083333333336</v>
      </c>
      <c r="B10" s="1">
        <v>650</v>
      </c>
    </row>
    <row r="11" spans="1:8" x14ac:dyDescent="0.3">
      <c r="A11" s="5">
        <v>43983.083333333336</v>
      </c>
      <c r="B11" s="1">
        <v>620</v>
      </c>
    </row>
    <row r="12" spans="1:8" x14ac:dyDescent="0.3">
      <c r="A12" s="5">
        <v>44013.083333333336</v>
      </c>
      <c r="B12" s="1">
        <v>660</v>
      </c>
    </row>
    <row r="13" spans="1:8" x14ac:dyDescent="0.3">
      <c r="A13" s="5">
        <v>44044.083333333336</v>
      </c>
      <c r="B13" s="1">
        <v>620</v>
      </c>
    </row>
    <row r="14" spans="1:8" x14ac:dyDescent="0.3">
      <c r="A14" s="5">
        <v>44075.083333333336</v>
      </c>
      <c r="B14" s="1">
        <v>630</v>
      </c>
    </row>
    <row r="15" spans="1:8" x14ac:dyDescent="0.3">
      <c r="A15" s="5">
        <v>44105.083333333336</v>
      </c>
      <c r="B15" s="1">
        <v>600</v>
      </c>
    </row>
    <row r="16" spans="1:8" x14ac:dyDescent="0.3">
      <c r="A16" s="5">
        <v>44136.041666666664</v>
      </c>
      <c r="B16" s="1">
        <v>630</v>
      </c>
    </row>
    <row r="17" spans="1:2" x14ac:dyDescent="0.3">
      <c r="A17" s="5">
        <v>44166.041666666664</v>
      </c>
      <c r="B17" s="1">
        <v>670</v>
      </c>
    </row>
    <row r="18" spans="1:2" x14ac:dyDescent="0.3">
      <c r="A18" s="5">
        <v>44197.041666666664</v>
      </c>
      <c r="B18" s="1">
        <v>710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7B1AAA-D8C6-4DB6-A3E4-230D88D4B5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Haystack</vt:lpstr>
      <vt:lpstr>about</vt:lpstr>
      <vt:lpstr>ops</vt:lpstr>
      <vt:lpstr>formats</vt:lpstr>
      <vt:lpstr>read</vt:lpstr>
      <vt:lpstr>hisRead</vt:lpstr>
      <vt:lpstr>Entity</vt:lpstr>
      <vt:lpstr>HaystackAPI</vt:lpstr>
      <vt:lpstr>Limit</vt:lpstr>
      <vt:lpstr>Query</vt:lpstr>
      <vt:lpstr>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pprados</dc:creator>
  <cp:lastModifiedBy>pprados</cp:lastModifiedBy>
  <dcterms:created xsi:type="dcterms:W3CDTF">2020-09-10T13:13:14Z</dcterms:created>
  <dcterms:modified xsi:type="dcterms:W3CDTF">2021-01-04T15:22:14Z</dcterms:modified>
</cp:coreProperties>
</file>